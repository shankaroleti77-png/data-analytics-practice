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Dashboard" sheetId="2" state="visible" r:id="rId2"/>
  </sheets>
  <definedNames>
    <definedName name="_xlnm._FilterDatabase" localSheetId="0" hidden="1">'Sales_Data'!$A$1:$G$19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8"/>
    </font>
    <font>
      <b val="1"/>
    </font>
    <font>
      <b val="1"/>
      <color rgb="002F75B5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3" fontId="4" fillId="3" borderId="1" pivotButton="0" quotePrefix="0" xfId="0"/>
    <xf numFmtId="0" fontId="1" fillId="6" borderId="1" applyAlignment="1" pivotButton="0" quotePrefix="0" xfId="0">
      <alignment horizontal="center"/>
    </xf>
    <xf numFmtId="0" fontId="3" fillId="5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3" borderId="1" pivotButton="0" quotePrefix="0" xfId="0"/>
    <xf numFmtId="0" fontId="3" fillId="4" borderId="1" pivotButton="0" quotePrefix="0" xfId="0"/>
    <xf numFmtId="164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'Dashboard'!$D$4:$D$9</f>
            </numRef>
          </cat>
          <val>
            <numRef>
              <f>'Dashboard'!$E$4:$E$9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'Dashboard'!$H$4:$H$9</f>
            </numRef>
          </cat>
          <val>
            <numRef>
              <f>'Dashboard'!$I$4:$I$9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t="inlineStr">
        <is>
          <t>2026-01-05</t>
        </is>
      </c>
      <c r="B2" t="inlineStr">
        <is>
          <t>Jan</t>
        </is>
      </c>
      <c r="C2" t="inlineStr">
        <is>
          <t>Fruits</t>
        </is>
      </c>
      <c r="D2" t="inlineStr">
        <is>
          <t>Apples</t>
        </is>
      </c>
      <c r="E2" s="2" t="n">
        <v>120</v>
      </c>
      <c r="F2" s="3" t="n">
        <v>2.5</v>
      </c>
      <c r="G2" s="3" t="n">
        <v>300</v>
      </c>
    </row>
    <row r="3">
      <c r="A3" t="inlineStr">
        <is>
          <t>2026-01-12</t>
        </is>
      </c>
      <c r="B3" t="inlineStr">
        <is>
          <t>Jan</t>
        </is>
      </c>
      <c r="C3" t="inlineStr">
        <is>
          <t>Vegetables</t>
        </is>
      </c>
      <c r="D3" t="inlineStr">
        <is>
          <t>Carrots</t>
        </is>
      </c>
      <c r="E3" s="2" t="n">
        <v>90</v>
      </c>
      <c r="F3" s="3" t="n">
        <v>1.9</v>
      </c>
      <c r="G3" s="3" t="n">
        <v>171</v>
      </c>
    </row>
    <row r="4">
      <c r="A4" t="inlineStr">
        <is>
          <t>2026-01-18</t>
        </is>
      </c>
      <c r="B4" t="inlineStr">
        <is>
          <t>Jan</t>
        </is>
      </c>
      <c r="C4" t="inlineStr">
        <is>
          <t>Dairy</t>
        </is>
      </c>
      <c r="D4" t="inlineStr">
        <is>
          <t>Milk</t>
        </is>
      </c>
      <c r="E4" s="2" t="n">
        <v>80</v>
      </c>
      <c r="F4" s="3" t="n">
        <v>3.2</v>
      </c>
      <c r="G4" s="3" t="n">
        <v>256</v>
      </c>
    </row>
    <row r="5">
      <c r="A5" t="inlineStr">
        <is>
          <t>2026-02-08</t>
        </is>
      </c>
      <c r="B5" t="inlineStr">
        <is>
          <t>Feb</t>
        </is>
      </c>
      <c r="C5" t="inlineStr">
        <is>
          <t>Bakery</t>
        </is>
      </c>
      <c r="D5" t="inlineStr">
        <is>
          <t>Bread</t>
        </is>
      </c>
      <c r="E5" s="2" t="n">
        <v>110</v>
      </c>
      <c r="F5" s="3" t="n">
        <v>2.8</v>
      </c>
      <c r="G5" s="3" t="n">
        <v>308</v>
      </c>
    </row>
    <row r="6">
      <c r="A6" t="inlineStr">
        <is>
          <t>2026-02-16</t>
        </is>
      </c>
      <c r="B6" t="inlineStr">
        <is>
          <t>Feb</t>
        </is>
      </c>
      <c r="C6" t="inlineStr">
        <is>
          <t>Snacks</t>
        </is>
      </c>
      <c r="D6" t="inlineStr">
        <is>
          <t>Chips</t>
        </is>
      </c>
      <c r="E6" s="2" t="n">
        <v>95</v>
      </c>
      <c r="F6" s="3" t="n">
        <v>2.1</v>
      </c>
      <c r="G6" s="3" t="n">
        <v>199.5</v>
      </c>
    </row>
    <row r="7">
      <c r="A7" t="inlineStr">
        <is>
          <t>2026-02-22</t>
        </is>
      </c>
      <c r="B7" t="inlineStr">
        <is>
          <t>Feb</t>
        </is>
      </c>
      <c r="C7" t="inlineStr">
        <is>
          <t>Household</t>
        </is>
      </c>
      <c r="D7" t="inlineStr">
        <is>
          <t>Soap</t>
        </is>
      </c>
      <c r="E7" s="2" t="n">
        <v>70</v>
      </c>
      <c r="F7" s="3" t="n">
        <v>4</v>
      </c>
      <c r="G7" s="3" t="n">
        <v>280</v>
      </c>
    </row>
    <row r="8">
      <c r="A8" t="inlineStr">
        <is>
          <t>2026-03-04</t>
        </is>
      </c>
      <c r="B8" t="inlineStr">
        <is>
          <t>Mar</t>
        </is>
      </c>
      <c r="C8" t="inlineStr">
        <is>
          <t>Fruits</t>
        </is>
      </c>
      <c r="D8" t="inlineStr">
        <is>
          <t>Bananas</t>
        </is>
      </c>
      <c r="E8" s="2" t="n">
        <v>150</v>
      </c>
      <c r="F8" s="3" t="n">
        <v>1.8</v>
      </c>
      <c r="G8" s="3" t="n">
        <v>270</v>
      </c>
    </row>
    <row r="9">
      <c r="A9" t="inlineStr">
        <is>
          <t>2026-03-15</t>
        </is>
      </c>
      <c r="B9" t="inlineStr">
        <is>
          <t>Mar</t>
        </is>
      </c>
      <c r="C9" t="inlineStr">
        <is>
          <t>Vegetables</t>
        </is>
      </c>
      <c r="D9" t="inlineStr">
        <is>
          <t>Spinach</t>
        </is>
      </c>
      <c r="E9" s="2" t="n">
        <v>100</v>
      </c>
      <c r="F9" s="3" t="n">
        <v>2.3</v>
      </c>
      <c r="G9" s="3" t="n">
        <v>230</v>
      </c>
    </row>
    <row r="10">
      <c r="A10" t="inlineStr">
        <is>
          <t>2026-03-21</t>
        </is>
      </c>
      <c r="B10" t="inlineStr">
        <is>
          <t>Mar</t>
        </is>
      </c>
      <c r="C10" t="inlineStr">
        <is>
          <t>Dairy</t>
        </is>
      </c>
      <c r="D10" t="inlineStr">
        <is>
          <t>Cheese</t>
        </is>
      </c>
      <c r="E10" s="2" t="n">
        <v>75</v>
      </c>
      <c r="F10" s="3" t="n">
        <v>4.5</v>
      </c>
      <c r="G10" s="3" t="n">
        <v>337.5</v>
      </c>
    </row>
    <row r="11">
      <c r="A11" t="inlineStr">
        <is>
          <t>2026-04-02</t>
        </is>
      </c>
      <c r="B11" t="inlineStr">
        <is>
          <t>Apr</t>
        </is>
      </c>
      <c r="C11" t="inlineStr">
        <is>
          <t>Bakery</t>
        </is>
      </c>
      <c r="D11" t="inlineStr">
        <is>
          <t>Croissants</t>
        </is>
      </c>
      <c r="E11" s="2" t="n">
        <v>85</v>
      </c>
      <c r="F11" s="3" t="n">
        <v>3.6</v>
      </c>
      <c r="G11" s="3" t="n">
        <v>306</v>
      </c>
    </row>
    <row r="12">
      <c r="A12" t="inlineStr">
        <is>
          <t>2026-04-10</t>
        </is>
      </c>
      <c r="B12" t="inlineStr">
        <is>
          <t>Apr</t>
        </is>
      </c>
      <c r="C12" t="inlineStr">
        <is>
          <t>Snacks</t>
        </is>
      </c>
      <c r="D12" t="inlineStr">
        <is>
          <t>Cookies</t>
        </is>
      </c>
      <c r="E12" s="2" t="n">
        <v>110</v>
      </c>
      <c r="F12" s="3" t="n">
        <v>2.7</v>
      </c>
      <c r="G12" s="3" t="n">
        <v>297</v>
      </c>
    </row>
    <row r="13">
      <c r="A13" t="inlineStr">
        <is>
          <t>2026-04-19</t>
        </is>
      </c>
      <c r="B13" t="inlineStr">
        <is>
          <t>Apr</t>
        </is>
      </c>
      <c r="C13" t="inlineStr">
        <is>
          <t>Household</t>
        </is>
      </c>
      <c r="D13" t="inlineStr">
        <is>
          <t>Paper Towels</t>
        </is>
      </c>
      <c r="E13" s="2" t="n">
        <v>60</v>
      </c>
      <c r="F13" s="3" t="n">
        <v>5.5</v>
      </c>
      <c r="G13" s="3" t="n">
        <v>330</v>
      </c>
    </row>
    <row r="14">
      <c r="A14" t="inlineStr">
        <is>
          <t>2026-05-06</t>
        </is>
      </c>
      <c r="B14" t="inlineStr">
        <is>
          <t>May</t>
        </is>
      </c>
      <c r="C14" t="inlineStr">
        <is>
          <t>Fruits</t>
        </is>
      </c>
      <c r="D14" t="inlineStr">
        <is>
          <t>Apples</t>
        </is>
      </c>
      <c r="E14" s="2" t="n">
        <v>140</v>
      </c>
      <c r="F14" s="3" t="n">
        <v>2.5</v>
      </c>
      <c r="G14" s="3" t="n">
        <v>350</v>
      </c>
    </row>
    <row r="15">
      <c r="A15" t="inlineStr">
        <is>
          <t>2026-05-09</t>
        </is>
      </c>
      <c r="B15" t="inlineStr">
        <is>
          <t>May</t>
        </is>
      </c>
      <c r="C15" t="inlineStr">
        <is>
          <t>Vegetables</t>
        </is>
      </c>
      <c r="D15" t="inlineStr">
        <is>
          <t>Carrots</t>
        </is>
      </c>
      <c r="E15" s="2" t="n">
        <v>120</v>
      </c>
      <c r="F15" s="3" t="n">
        <v>1.9</v>
      </c>
      <c r="G15" s="3" t="n">
        <v>228</v>
      </c>
    </row>
    <row r="16">
      <c r="A16" t="inlineStr">
        <is>
          <t>2026-05-18</t>
        </is>
      </c>
      <c r="B16" t="inlineStr">
        <is>
          <t>May</t>
        </is>
      </c>
      <c r="C16" t="inlineStr">
        <is>
          <t>Dairy</t>
        </is>
      </c>
      <c r="D16" t="inlineStr">
        <is>
          <t>Milk</t>
        </is>
      </c>
      <c r="E16" s="2" t="n">
        <v>90</v>
      </c>
      <c r="F16" s="3" t="n">
        <v>3.2</v>
      </c>
      <c r="G16" s="3" t="n">
        <v>288</v>
      </c>
    </row>
    <row r="17">
      <c r="A17" t="inlineStr">
        <is>
          <t>2026-06-03</t>
        </is>
      </c>
      <c r="B17" t="inlineStr">
        <is>
          <t>Jun</t>
        </is>
      </c>
      <c r="C17" t="inlineStr">
        <is>
          <t>Bakery</t>
        </is>
      </c>
      <c r="D17" t="inlineStr">
        <is>
          <t>Bread</t>
        </is>
      </c>
      <c r="E17" s="2" t="n">
        <v>130</v>
      </c>
      <c r="F17" s="3" t="n">
        <v>2.8</v>
      </c>
      <c r="G17" s="3" t="n">
        <v>364</v>
      </c>
    </row>
    <row r="18">
      <c r="A18" t="inlineStr">
        <is>
          <t>2026-06-12</t>
        </is>
      </c>
      <c r="B18" t="inlineStr">
        <is>
          <t>Jun</t>
        </is>
      </c>
      <c r="C18" t="inlineStr">
        <is>
          <t>Snacks</t>
        </is>
      </c>
      <c r="D18" t="inlineStr">
        <is>
          <t>Chips</t>
        </is>
      </c>
      <c r="E18" s="2" t="n">
        <v>125</v>
      </c>
      <c r="F18" s="3" t="n">
        <v>2.1</v>
      </c>
      <c r="G18" s="3" t="n">
        <v>262.5</v>
      </c>
    </row>
    <row r="19">
      <c r="A19" t="inlineStr">
        <is>
          <t>2026-06-24</t>
        </is>
      </c>
      <c r="B19" t="inlineStr">
        <is>
          <t>Jun</t>
        </is>
      </c>
      <c r="C19" t="inlineStr">
        <is>
          <t>Household</t>
        </is>
      </c>
      <c r="D19" t="inlineStr">
        <is>
          <t>Soap</t>
        </is>
      </c>
      <c r="E19" s="2" t="n">
        <v>95</v>
      </c>
      <c r="F19" s="3" t="n">
        <v>4</v>
      </c>
      <c r="G19" s="3" t="n">
        <v>380</v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6" customWidth="1" min="5" max="5"/>
    <col width="18" customWidth="1" min="8" max="8"/>
    <col width="16" customWidth="1" min="9" max="9"/>
  </cols>
  <sheetData>
    <row r="1">
      <c r="A1" s="4" t="inlineStr">
        <is>
          <t>Grocery Store Dashboard</t>
        </is>
      </c>
    </row>
    <row r="3">
      <c r="A3" s="5" t="inlineStr">
        <is>
          <t>Total Sales</t>
        </is>
      </c>
      <c r="B3" s="6">
        <f>SUM(Sales_Data!G2:G19)</f>
        <v/>
      </c>
      <c r="D3" s="7" t="inlineStr">
        <is>
          <t>Category</t>
        </is>
      </c>
      <c r="E3" s="7" t="inlineStr">
        <is>
          <t>Sales</t>
        </is>
      </c>
      <c r="H3" t="inlineStr">
        <is>
          <t>Month</t>
        </is>
      </c>
      <c r="I3" t="inlineStr">
        <is>
          <t>Sales</t>
        </is>
      </c>
    </row>
    <row r="4">
      <c r="A4" s="5" t="inlineStr">
        <is>
          <t>Total Units</t>
        </is>
      </c>
      <c r="B4" s="6">
        <f>SUM(Sales_Data!E2:E19)</f>
        <v/>
      </c>
      <c r="D4" s="8" t="inlineStr">
        <is>
          <t>Fruits</t>
        </is>
      </c>
      <c r="E4" s="9">
        <f>SUMIF(Sales_Data!C:C,D4,Sales_Data!G:G)</f>
        <v/>
      </c>
      <c r="H4" t="inlineStr">
        <is>
          <t>Jan</t>
        </is>
      </c>
      <c r="I4" s="10">
        <f>SUMIF(Sales_Data!B:B,H4,Sales_Data!G:G)</f>
        <v/>
      </c>
    </row>
    <row r="5">
      <c r="A5" s="5" t="inlineStr">
        <is>
          <t>Average Sale</t>
        </is>
      </c>
      <c r="B5" s="11">
        <f>AVERAGE(Sales_Data!G2:G19)</f>
        <v/>
      </c>
      <c r="D5" s="12" t="inlineStr">
        <is>
          <t>Vegetables</t>
        </is>
      </c>
      <c r="E5" s="13">
        <f>SUMIF(Sales_Data!C:C,D5,Sales_Data!G:G)</f>
        <v/>
      </c>
      <c r="H5" t="inlineStr">
        <is>
          <t>Feb</t>
        </is>
      </c>
      <c r="I5" s="10">
        <f>SUMIF(Sales_Data!B:B,H5,Sales_Data!G:G)</f>
        <v/>
      </c>
    </row>
    <row r="6">
      <c r="A6" s="5" t="inlineStr">
        <is>
          <t>Transactions</t>
        </is>
      </c>
      <c r="B6" s="6">
        <f>COUNTA(Sales_Data!A2:A19)</f>
        <v/>
      </c>
      <c r="D6" s="8" t="inlineStr">
        <is>
          <t>Dairy</t>
        </is>
      </c>
      <c r="E6" s="9">
        <f>SUMIF(Sales_Data!C:C,D6,Sales_Data!G:G)</f>
        <v/>
      </c>
      <c r="H6" t="inlineStr">
        <is>
          <t>Mar</t>
        </is>
      </c>
      <c r="I6" s="10">
        <f>SUMIF(Sales_Data!B:B,H6,Sales_Data!G:G)</f>
        <v/>
      </c>
    </row>
    <row r="7">
      <c r="A7" s="14" t="n"/>
      <c r="B7" s="14" t="n"/>
      <c r="D7" s="12" t="inlineStr">
        <is>
          <t>Bakery</t>
        </is>
      </c>
      <c r="E7" s="13">
        <f>SUMIF(Sales_Data!C:C,D7,Sales_Data!G:G)</f>
        <v/>
      </c>
      <c r="H7" t="inlineStr">
        <is>
          <t>Apr</t>
        </is>
      </c>
      <c r="I7" s="10">
        <f>SUMIF(Sales_Data!B:B,H7,Sales_Data!G:G)</f>
        <v/>
      </c>
    </row>
    <row r="8">
      <c r="D8" s="8" t="inlineStr">
        <is>
          <t>Snacks</t>
        </is>
      </c>
      <c r="E8" s="9">
        <f>SUMIF(Sales_Data!C:C,D8,Sales_Data!G:G)</f>
        <v/>
      </c>
      <c r="H8" t="inlineStr">
        <is>
          <t>May</t>
        </is>
      </c>
      <c r="I8" s="10">
        <f>SUMIF(Sales_Data!B:B,H8,Sales_Data!G:G)</f>
        <v/>
      </c>
    </row>
    <row r="9">
      <c r="D9" s="12" t="inlineStr">
        <is>
          <t>Household</t>
        </is>
      </c>
      <c r="E9" s="13">
        <f>SUMIF(Sales_Data!C:C,D9,Sales_Data!G:G)</f>
        <v/>
      </c>
      <c r="H9" t="inlineStr">
        <is>
          <t>Jun</t>
        </is>
      </c>
      <c r="I9" s="10">
        <f>SUMIF(Sales_Data!B:B,H9,Sales_Data!G:G)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2026-10-26T16:46:48Z</dcterms:created>
  <dcterms:modified xsi:type="dcterms:W3CDTF">2026-10-26T16:46:49Z</dcterms:modified>
</cp:coreProperties>
</file>